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nndata" sheetId="1" state="visible" r:id="rId1"/>
    <sheet name="Kostnadsfunksjon" sheetId="2" state="visible" r:id="rId2"/>
    <sheet name="Kostnadstabe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5" fillId="0" borderId="1" pivotButton="0" quotePrefix="0" xfId="0"/>
    <xf numFmtId="0" fontId="6" fillId="3" borderId="0" pivotButton="0" quotePrefix="0" xfId="0"/>
    <xf numFmtId="0" fontId="0" fillId="2" borderId="1" pivotButton="0" quotePrefix="0" xfId="0"/>
    <xf numFmtId="4" fontId="5" fillId="0" borderId="1" pivotButton="0" quotePrefix="0" xfId="0"/>
    <xf numFmtId="2" fontId="5" fillId="0" borderId="1" pivotButton="0" quotePrefix="0" xfId="0"/>
    <xf numFmtId="4" fontId="4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3" fontId="4" fillId="0" borderId="1" pivotButton="0" quotePrefix="0" xfId="0"/>
    <xf numFmtId="3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Enhetskostnader – tørket frukt</a:t>
            </a:r>
          </a:p>
        </rich>
      </tx>
    </title>
    <plotArea>
      <scatterChart>
        <ser>
          <idx val="0"/>
          <order val="0"/>
          <tx>
            <strRef>
              <f>'Kostnadstabell'!E4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'Kostnadstabell'!$A$5:$A$9</f>
            </numRef>
          </xVal>
          <yVal>
            <numRef>
              <f>'Kostnadstabell'!$E$5:$E$9</f>
            </numRef>
          </yVal>
          <smooth val="0"/>
        </ser>
        <ser>
          <idx val="1"/>
          <order val="1"/>
          <tx>
            <strRef>
              <f>'Kostnadstabell'!F4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'Kostnadstabell'!$A$5:$A$9</f>
            </numRef>
          </xVal>
          <yVal>
            <numRef>
              <f>'Kostnadstabell'!$F$5:$F$9</f>
            </numRef>
          </yVal>
          <smooth val="0"/>
        </ser>
        <ser>
          <idx val="2"/>
          <order val="2"/>
          <tx>
            <strRef>
              <f>'Kostnadstabell'!G4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'Kostnadstabell'!$A$5:$A$9</f>
            </numRef>
          </xVal>
          <yVal>
            <numRef>
              <f>'Kostnadstabell'!$G$5:$G$9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Produsert mengde (kg)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Kroner per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Grunndata – kostnadsarter og produksjonsdata</t>
        </is>
      </c>
    </row>
    <row r="2">
      <c r="A2" s="2" t="inlineStr">
        <is>
          <t>Blå tall er inndata du kan endre. Svarte tall er formler og skal ikke overskrives.</t>
        </is>
      </c>
    </row>
    <row r="3">
      <c r="A3" s="3" t="inlineStr">
        <is>
          <t>Kostnadsart</t>
        </is>
      </c>
      <c r="B3" s="3" t="inlineStr">
        <is>
          <t>Beløp</t>
        </is>
      </c>
      <c r="C3" s="3" t="inlineStr">
        <is>
          <t>Enhet</t>
        </is>
      </c>
      <c r="D3" s="3" t="inlineStr">
        <is>
          <t>Kostnadsform</t>
        </is>
      </c>
      <c r="E3" s="3" t="inlineStr">
        <is>
          <t>Kostnadstype</t>
        </is>
      </c>
    </row>
    <row r="4">
      <c r="A4" s="4" t="inlineStr">
        <is>
          <t>Råvarer – tørket frukt</t>
        </is>
      </c>
      <c r="B4" s="5" t="n">
        <v>90</v>
      </c>
      <c r="C4" s="4" t="inlineStr">
        <is>
          <t>per kg råvare</t>
        </is>
      </c>
      <c r="D4" s="4" t="inlineStr">
        <is>
          <t>Variabel</t>
        </is>
      </c>
      <c r="E4" s="4" t="inlineStr">
        <is>
          <t>Direkte</t>
        </is>
      </c>
    </row>
    <row r="5">
      <c r="A5" s="4" t="inlineStr">
        <is>
          <t>Råvarer – nøttemiks</t>
        </is>
      </c>
      <c r="B5" s="5" t="n">
        <v>62</v>
      </c>
      <c r="C5" s="4" t="inlineStr">
        <is>
          <t>per kg råvare</t>
        </is>
      </c>
      <c r="D5" s="4" t="inlineStr">
        <is>
          <t>Variabel</t>
        </is>
      </c>
      <c r="E5" s="4" t="inlineStr">
        <is>
          <t>Direkte</t>
        </is>
      </c>
    </row>
    <row r="6">
      <c r="A6" s="4" t="inlineStr">
        <is>
          <t>Råvarer – energibarer</t>
        </is>
      </c>
      <c r="B6" s="5" t="n">
        <v>48</v>
      </c>
      <c r="C6" s="4" t="inlineStr">
        <is>
          <t>per kg råvare</t>
        </is>
      </c>
      <c r="D6" s="4" t="inlineStr">
        <is>
          <t>Variabel</t>
        </is>
      </c>
      <c r="E6" s="4" t="inlineStr">
        <is>
          <t>Direkte</t>
        </is>
      </c>
    </row>
    <row r="7">
      <c r="A7" s="4" t="inlineStr">
        <is>
          <t>Emballasje</t>
        </is>
      </c>
      <c r="B7" s="5" t="n">
        <v>12</v>
      </c>
      <c r="C7" s="4" t="inlineStr">
        <is>
          <t>per enhet (= per kg)</t>
        </is>
      </c>
      <c r="D7" s="4" t="inlineStr">
        <is>
          <t>Variabel</t>
        </is>
      </c>
      <c r="E7" s="4" t="inlineStr">
        <is>
          <t>Indirekte</t>
        </is>
      </c>
    </row>
    <row r="8">
      <c r="A8" s="4" t="inlineStr">
        <is>
          <t>Direktelønn – produksjon</t>
        </is>
      </c>
      <c r="B8" s="5" t="n">
        <v>140</v>
      </c>
      <c r="C8" s="4" t="inlineStr">
        <is>
          <t>kr per time</t>
        </is>
      </c>
      <c r="D8" s="4" t="inlineStr">
        <is>
          <t>Fast *</t>
        </is>
      </c>
      <c r="E8" s="4" t="inlineStr">
        <is>
          <t>Direkte</t>
        </is>
      </c>
    </row>
    <row r="9">
      <c r="A9" s="4" t="inlineStr">
        <is>
          <t>Vedlikehold, maskiner</t>
        </is>
      </c>
      <c r="B9" s="5" t="n">
        <v>8</v>
      </c>
      <c r="C9" s="4" t="inlineStr">
        <is>
          <t>kr per maskintime *</t>
        </is>
      </c>
      <c r="D9" s="4" t="inlineStr">
        <is>
          <t>Variabel</t>
        </is>
      </c>
      <c r="E9" s="4" t="inlineStr">
        <is>
          <t>Direkte</t>
        </is>
      </c>
    </row>
    <row r="10">
      <c r="A10" s="4" t="inlineStr">
        <is>
          <t>Strøm, produksjon</t>
        </is>
      </c>
      <c r="B10" s="5" t="n">
        <v>35000</v>
      </c>
      <c r="C10" s="4" t="inlineStr">
        <is>
          <t>kr per mnd</t>
        </is>
      </c>
      <c r="D10" s="4" t="inlineStr">
        <is>
          <t>Variabel *</t>
        </is>
      </c>
      <c r="E10" s="4" t="inlineStr">
        <is>
          <t>Direkte</t>
        </is>
      </c>
    </row>
    <row r="11">
      <c r="A11" s="4" t="inlineStr">
        <is>
          <t>Husleie, fabrikk</t>
        </is>
      </c>
      <c r="B11" s="5" t="n">
        <v>65000</v>
      </c>
      <c r="C11" s="4" t="inlineStr">
        <is>
          <t>kr per mnd</t>
        </is>
      </c>
      <c r="D11" s="4" t="inlineStr">
        <is>
          <t>Fast</t>
        </is>
      </c>
      <c r="E11" s="4" t="inlineStr">
        <is>
          <t>Indirekte</t>
        </is>
      </c>
    </row>
    <row r="12">
      <c r="A12" s="4" t="inlineStr">
        <is>
          <t>Admin og salg</t>
        </is>
      </c>
      <c r="B12" s="5" t="n">
        <v>120000</v>
      </c>
      <c r="C12" s="4" t="inlineStr">
        <is>
          <t>kr per mnd</t>
        </is>
      </c>
      <c r="D12" s="4" t="inlineStr">
        <is>
          <t>Fast</t>
        </is>
      </c>
      <c r="E12" s="4" t="inlineStr">
        <is>
          <t>Indirekte</t>
        </is>
      </c>
    </row>
    <row r="13">
      <c r="A13" s="4" t="inlineStr">
        <is>
          <t>Avskrivninger</t>
        </is>
      </c>
      <c r="B13" s="5" t="n">
        <v>240000</v>
      </c>
      <c r="C13" s="4" t="inlineStr">
        <is>
          <t>kr per mnd</t>
        </is>
      </c>
      <c r="D13" s="4" t="inlineStr">
        <is>
          <t>Fast</t>
        </is>
      </c>
      <c r="E13" s="4" t="inlineStr">
        <is>
          <t>Indirekte</t>
        </is>
      </c>
    </row>
    <row r="15">
      <c r="A15" s="6" t="inlineStr">
        <is>
          <t>Produksjonsdata per produktlinje</t>
        </is>
      </c>
    </row>
    <row r="16">
      <c r="A16" s="7" t="n"/>
      <c r="B16" s="3" t="inlineStr">
        <is>
          <t>Tørket frukt</t>
        </is>
      </c>
      <c r="C16" s="3" t="inlineStr">
        <is>
          <t>Nøttemiks</t>
        </is>
      </c>
      <c r="D16" s="3" t="inlineStr">
        <is>
          <t>Energibarer</t>
        </is>
      </c>
    </row>
    <row r="17">
      <c r="A17" s="4" t="inlineStr">
        <is>
          <t>Salgspris (kr/kg)</t>
        </is>
      </c>
      <c r="B17" s="8" t="n">
        <v>280</v>
      </c>
      <c r="C17" s="8" t="n">
        <v>195</v>
      </c>
      <c r="D17" s="8" t="n">
        <v>240</v>
      </c>
    </row>
    <row r="18">
      <c r="A18" s="4" t="inlineStr">
        <is>
          <t>Arbeidstid per kg ferdigvare (timer)</t>
        </is>
      </c>
      <c r="B18" s="9" t="n">
        <v>0.4</v>
      </c>
      <c r="C18" s="9" t="n">
        <v>0.2</v>
      </c>
      <c r="D18" s="9" t="n">
        <v>0.3</v>
      </c>
    </row>
    <row r="19">
      <c r="A19" s="4" t="inlineStr">
        <is>
          <t>Maskintid per kg ferdigvare (timer)</t>
        </is>
      </c>
      <c r="B19" s="9" t="n">
        <v>0.3</v>
      </c>
      <c r="C19" s="9" t="n">
        <v>0.15</v>
      </c>
      <c r="D19" s="9" t="n">
        <v>0.25</v>
      </c>
    </row>
    <row r="20">
      <c r="A20" s="4" t="inlineStr">
        <is>
          <t>Budsjettert salg per mnd (kg)</t>
        </is>
      </c>
      <c r="B20" s="5" t="n">
        <v>1200</v>
      </c>
      <c r="C20" s="5" t="n">
        <v>2500</v>
      </c>
      <c r="D20" s="5" t="n">
        <v>1800</v>
      </c>
    </row>
    <row r="21">
      <c r="A21" s="4" t="inlineStr">
        <is>
          <t>Råvarepris per kg (hentet fra listen over)</t>
        </is>
      </c>
      <c r="B21" s="10">
        <f>B4</f>
        <v/>
      </c>
      <c r="C21" s="10">
        <f>B5</f>
        <v/>
      </c>
      <c r="D21" s="10">
        <f>B6</f>
        <v/>
      </c>
    </row>
    <row r="23">
      <c r="A23" s="2" t="inlineStr">
        <is>
          <t>* Forutsetninger som er tatt – endre her hvis oppgaveteksten sier noe annet:</t>
        </is>
      </c>
    </row>
    <row r="24">
      <c r="A24" s="2" t="inlineStr">
        <is>
          <t xml:space="preserve">   1) Direktelønn er oppgitt som «Fast» i datagrunnlaget, men er en timesats og behandles her som VARIABEL.</t>
        </is>
      </c>
    </row>
    <row r="25">
      <c r="A25" s="2" t="inlineStr">
        <is>
          <t xml:space="preserve">   2) Vedlikehold står oppgitt som «kr per maskin». Tolket som kr per MASKINTIME, siden raden er merket variabel.</t>
        </is>
      </c>
    </row>
    <row r="26">
      <c r="A26" s="2" t="inlineStr">
        <is>
          <t xml:space="preserve">   3) Strøm er merket variabel, men er gitt som én månedssum uten sats per kg. Den inngår derfor i de FASTE kostnadene i K(x).</t>
        </is>
      </c>
    </row>
    <row r="27">
      <c r="A27" s="2" t="inlineStr">
        <is>
          <t xml:space="preserve">   4) 1 kg råvare gir 1 kg ferdigvare (ingen svinn oppgitt), og 1 emballasjeenhet = 1 kg.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Kostnadsfunksjon K(x) per produkt</t>
        </is>
      </c>
    </row>
    <row r="2">
      <c r="A2" s="2" t="inlineStr">
        <is>
          <t>x = antall kg produsert og solgt per måned</t>
        </is>
      </c>
    </row>
    <row r="4">
      <c r="A4" s="6" t="inlineStr">
        <is>
          <t>Variabel enhetskostnad (kr per kg)</t>
        </is>
      </c>
    </row>
    <row r="5">
      <c r="A5" s="3" t="inlineStr">
        <is>
          <t>Komponent</t>
        </is>
      </c>
      <c r="B5" s="3" t="inlineStr">
        <is>
          <t>Tørket frukt</t>
        </is>
      </c>
      <c r="C5" s="3" t="inlineStr">
        <is>
          <t>Nøttemiks</t>
        </is>
      </c>
      <c r="D5" s="3" t="inlineStr">
        <is>
          <t>Energibarer</t>
        </is>
      </c>
    </row>
    <row r="6">
      <c r="A6" s="4" t="inlineStr">
        <is>
          <t>Råvarer</t>
        </is>
      </c>
      <c r="B6" s="10">
        <f>Grunndata!B21</f>
        <v/>
      </c>
      <c r="C6" s="10">
        <f>Grunndata!C21</f>
        <v/>
      </c>
      <c r="D6" s="10">
        <f>Grunndata!D21</f>
        <v/>
      </c>
    </row>
    <row r="7">
      <c r="A7" s="4" t="inlineStr">
        <is>
          <t>Emballasje</t>
        </is>
      </c>
      <c r="B7" s="10">
        <f>Grunndata!$B$7</f>
        <v/>
      </c>
      <c r="C7" s="10">
        <f>Grunndata!$B$7</f>
        <v/>
      </c>
      <c r="D7" s="10">
        <f>Grunndata!$B$7</f>
        <v/>
      </c>
    </row>
    <row r="8">
      <c r="A8" s="4" t="inlineStr">
        <is>
          <t>Direktelønn (arbeidstid/kg × timesats)</t>
        </is>
      </c>
      <c r="B8" s="10">
        <f>Grunndata!B18*Grunndata!$B$8</f>
        <v/>
      </c>
      <c r="C8" s="10">
        <f>Grunndata!C18*Grunndata!$B$8</f>
        <v/>
      </c>
      <c r="D8" s="10">
        <f>Grunndata!D18*Grunndata!$B$8</f>
        <v/>
      </c>
    </row>
    <row r="9">
      <c r="A9" s="4" t="inlineStr">
        <is>
          <t>Vedlikehold (maskintid/kg × sats)</t>
        </is>
      </c>
      <c r="B9" s="10">
        <f>Grunndata!B19*Grunndata!$B$9</f>
        <v/>
      </c>
      <c r="C9" s="10">
        <f>Grunndata!C19*Grunndata!$B$9</f>
        <v/>
      </c>
      <c r="D9" s="10">
        <f>Grunndata!D19*Grunndata!$B$9</f>
        <v/>
      </c>
    </row>
    <row r="10">
      <c r="A10" s="11" t="inlineStr">
        <is>
          <t>Sum variabel enhetskostnad (VEK)</t>
        </is>
      </c>
      <c r="B10" s="12">
        <f>SUM(B6:B9)</f>
        <v/>
      </c>
      <c r="C10" s="12">
        <f>SUM(C6:C9)</f>
        <v/>
      </c>
      <c r="D10" s="12">
        <f>SUM(D6:D9)</f>
        <v/>
      </c>
    </row>
    <row r="12">
      <c r="A12" s="6" t="inlineStr">
        <is>
          <t>Faste kostnader per måned</t>
        </is>
      </c>
    </row>
    <row r="13">
      <c r="A13" s="4" t="inlineStr">
        <is>
          <t>Strøm, produksjon</t>
        </is>
      </c>
      <c r="B13" s="13">
        <f>Grunndata!B10</f>
        <v/>
      </c>
    </row>
    <row r="14">
      <c r="A14" s="4" t="inlineStr">
        <is>
          <t>Husleie, fabrikk</t>
        </is>
      </c>
      <c r="B14" s="13">
        <f>Grunndata!B11</f>
        <v/>
      </c>
    </row>
    <row r="15">
      <c r="A15" s="4" t="inlineStr">
        <is>
          <t>Admin og salg</t>
        </is>
      </c>
      <c r="B15" s="13">
        <f>Grunndata!B12</f>
        <v/>
      </c>
    </row>
    <row r="16">
      <c r="A16" s="4" t="inlineStr">
        <is>
          <t>Avskrivninger</t>
        </is>
      </c>
      <c r="B16" s="13">
        <f>Grunndata!B13</f>
        <v/>
      </c>
    </row>
    <row r="17">
      <c r="A17" s="11" t="inlineStr">
        <is>
          <t>Sum faste kostnader</t>
        </is>
      </c>
      <c r="B17" s="14">
        <f>SUM(B13:B16)</f>
        <v/>
      </c>
    </row>
    <row r="18">
      <c r="A18" s="4" t="inlineStr">
        <is>
          <t>Antall produkter å fordele på</t>
        </is>
      </c>
      <c r="B18" s="5" t="n">
        <v>3</v>
      </c>
    </row>
    <row r="19">
      <c r="A19" s="11" t="inlineStr">
        <is>
          <t>Fast kostnad per produkt (fordelt likt)</t>
        </is>
      </c>
      <c r="B19" s="12">
        <f>B17/B18</f>
        <v/>
      </c>
    </row>
    <row r="21">
      <c r="A21" s="6" t="inlineStr">
        <is>
          <t>Kostnadsfunksjon  K(x) = fast ledd + variabelt ledd × x</t>
        </is>
      </c>
    </row>
    <row r="22">
      <c r="A22" s="3" t="inlineStr">
        <is>
          <t>Produkt</t>
        </is>
      </c>
      <c r="B22" s="3" t="inlineStr">
        <is>
          <t>Fast ledd (kr)</t>
        </is>
      </c>
      <c r="C22" s="3" t="inlineStr">
        <is>
          <t>Variabelt ledd (kr/kg)</t>
        </is>
      </c>
      <c r="D22" s="3" t="inlineStr">
        <is>
          <t>K(x)</t>
        </is>
      </c>
    </row>
    <row r="23">
      <c r="A23" s="4" t="inlineStr">
        <is>
          <t>Tørket frukt</t>
        </is>
      </c>
      <c r="B23" s="10">
        <f>$B$19</f>
        <v/>
      </c>
      <c r="C23" s="10">
        <f>B10</f>
        <v/>
      </c>
      <c r="D23" s="11">
        <f>"K(x) = "&amp;FIXED(B23,2)&amp;" + "&amp;FIXED(C23,2)&amp;"x"</f>
        <v/>
      </c>
    </row>
    <row r="24">
      <c r="A24" s="4" t="inlineStr">
        <is>
          <t>Nøttemiks</t>
        </is>
      </c>
      <c r="B24" s="10">
        <f>$B$19</f>
        <v/>
      </c>
      <c r="C24" s="10">
        <f>C10</f>
        <v/>
      </c>
      <c r="D24" s="11">
        <f>"K(x) = "&amp;FIXED(B24,2)&amp;" + "&amp;FIXED(C24,2)&amp;"x"</f>
        <v/>
      </c>
    </row>
    <row r="25">
      <c r="A25" s="4" t="inlineStr">
        <is>
          <t>Energibarer</t>
        </is>
      </c>
      <c r="B25" s="10">
        <f>$B$19</f>
        <v/>
      </c>
      <c r="C25" s="10">
        <f>D10</f>
        <v/>
      </c>
      <c r="D25" s="11">
        <f>"K(x) = "&amp;FIXED(B25,2)&amp;" + "&amp;FIXED(C25,2)&amp;"x"</f>
        <v/>
      </c>
    </row>
    <row r="27">
      <c r="A27" s="2" t="inlineStr">
        <is>
          <t>Faste kostnader fordeles likt mellom de tre produktene, slik oppgaveteksten ber om.</t>
        </is>
      </c>
    </row>
    <row r="28">
      <c r="A28" s="2" t="inlineStr">
        <is>
          <t>Merk: lik fordeling tar ikke hensyn til at produktene bruker ulikt antall arbeids- og maskintimer.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Kostnadstabell – tørket frukt</t>
        </is>
      </c>
    </row>
    <row r="2">
      <c r="A2" s="2" t="inlineStr">
        <is>
          <t>K(x) = 153 333,33 + 160,40x   (hentes med formler fra arket Kostnadsfunksjon)</t>
        </is>
      </c>
    </row>
    <row r="4" ht="44" customHeight="1">
      <c r="A4" s="15" t="inlineStr">
        <is>
          <t>x (kg)</t>
        </is>
      </c>
      <c r="B4" s="15" t="inlineStr">
        <is>
          <t>Faste kostnader</t>
        </is>
      </c>
      <c r="C4" s="15" t="inlineStr">
        <is>
          <t>Variable kostnader</t>
        </is>
      </c>
      <c r="D4" s="15" t="inlineStr">
        <is>
          <t>K(x) totalkostnad</t>
        </is>
      </c>
      <c r="E4" s="15" t="inlineStr">
        <is>
          <t>Variabel enhetskostnad</t>
        </is>
      </c>
      <c r="F4" s="15" t="inlineStr">
        <is>
          <t>Fast enhetskostnad</t>
        </is>
      </c>
      <c r="G4" s="15" t="inlineStr">
        <is>
          <t>Enhetskostnad totalt</t>
        </is>
      </c>
      <c r="H4" s="15" t="inlineStr">
        <is>
          <t>Differansekostnad</t>
        </is>
      </c>
      <c r="I4" s="15" t="inlineStr">
        <is>
          <t>Differansekostnad per kg</t>
        </is>
      </c>
    </row>
    <row r="5">
      <c r="A5" s="5" t="n">
        <v>500</v>
      </c>
      <c r="B5" s="10">
        <f>Kostnadsfunksjon!$B$19</f>
        <v/>
      </c>
      <c r="C5" s="10">
        <f>Kostnadsfunksjon!$B$10*A5</f>
        <v/>
      </c>
      <c r="D5" s="10">
        <f>B5+C5</f>
        <v/>
      </c>
      <c r="E5" s="10">
        <f>C5/A5</f>
        <v/>
      </c>
      <c r="F5" s="10">
        <f>B5/A5</f>
        <v/>
      </c>
      <c r="G5" s="10">
        <f>D5/A5</f>
        <v/>
      </c>
      <c r="H5" s="16" t="inlineStr">
        <is>
          <t>–</t>
        </is>
      </c>
      <c r="I5" s="16" t="inlineStr">
        <is>
          <t>–</t>
        </is>
      </c>
    </row>
    <row r="6">
      <c r="A6" s="5" t="n">
        <v>700</v>
      </c>
      <c r="B6" s="10">
        <f>Kostnadsfunksjon!$B$19</f>
        <v/>
      </c>
      <c r="C6" s="10">
        <f>Kostnadsfunksjon!$B$10*A6</f>
        <v/>
      </c>
      <c r="D6" s="10">
        <f>B6+C6</f>
        <v/>
      </c>
      <c r="E6" s="10">
        <f>C6/A6</f>
        <v/>
      </c>
      <c r="F6" s="10">
        <f>B6/A6</f>
        <v/>
      </c>
      <c r="G6" s="10">
        <f>D6/A6</f>
        <v/>
      </c>
      <c r="H6" s="10">
        <f>D6-D5</f>
        <v/>
      </c>
      <c r="I6" s="10">
        <f>H6/(A6-A5)</f>
        <v/>
      </c>
    </row>
    <row r="7">
      <c r="A7" s="5" t="n">
        <v>900</v>
      </c>
      <c r="B7" s="10">
        <f>Kostnadsfunksjon!$B$19</f>
        <v/>
      </c>
      <c r="C7" s="10">
        <f>Kostnadsfunksjon!$B$10*A7</f>
        <v/>
      </c>
      <c r="D7" s="10">
        <f>B7+C7</f>
        <v/>
      </c>
      <c r="E7" s="10">
        <f>C7/A7</f>
        <v/>
      </c>
      <c r="F7" s="10">
        <f>B7/A7</f>
        <v/>
      </c>
      <c r="G7" s="10">
        <f>D7/A7</f>
        <v/>
      </c>
      <c r="H7" s="10">
        <f>D7-D6</f>
        <v/>
      </c>
      <c r="I7" s="10">
        <f>H7/(A7-A6)</f>
        <v/>
      </c>
    </row>
    <row r="8">
      <c r="A8" s="5" t="n">
        <v>1100</v>
      </c>
      <c r="B8" s="10">
        <f>Kostnadsfunksjon!$B$19</f>
        <v/>
      </c>
      <c r="C8" s="10">
        <f>Kostnadsfunksjon!$B$10*A8</f>
        <v/>
      </c>
      <c r="D8" s="10">
        <f>B8+C8</f>
        <v/>
      </c>
      <c r="E8" s="10">
        <f>C8/A8</f>
        <v/>
      </c>
      <c r="F8" s="10">
        <f>B8/A8</f>
        <v/>
      </c>
      <c r="G8" s="10">
        <f>D8/A8</f>
        <v/>
      </c>
      <c r="H8" s="10">
        <f>D8-D7</f>
        <v/>
      </c>
      <c r="I8" s="10">
        <f>H8/(A8-A7)</f>
        <v/>
      </c>
    </row>
    <row r="9">
      <c r="A9" s="5" t="n">
        <v>1300</v>
      </c>
      <c r="B9" s="10">
        <f>Kostnadsfunksjon!$B$19</f>
        <v/>
      </c>
      <c r="C9" s="10">
        <f>Kostnadsfunksjon!$B$10*A9</f>
        <v/>
      </c>
      <c r="D9" s="10">
        <f>B9+C9</f>
        <v/>
      </c>
      <c r="E9" s="10">
        <f>C9/A9</f>
        <v/>
      </c>
      <c r="F9" s="10">
        <f>B9/A9</f>
        <v/>
      </c>
      <c r="G9" s="10">
        <f>D9/A9</f>
        <v/>
      </c>
      <c r="H9" s="10">
        <f>D9-D8</f>
        <v/>
      </c>
      <c r="I9" s="10">
        <f>H9/(A9-A8)</f>
        <v/>
      </c>
    </row>
    <row r="11">
      <c r="A11" s="6" t="inlineStr">
        <is>
          <t>Tolkning</t>
        </is>
      </c>
    </row>
    <row r="12">
      <c r="A12" s="2" t="inlineStr">
        <is>
          <t>Differansekostnaden er konstant 160,40 kr per kg. I en lineær kostnadsfunksjon er differansekostnaden alltid lik den</t>
        </is>
      </c>
    </row>
    <row r="13">
      <c r="A13" s="2" t="inlineStr">
        <is>
          <t>variable enhetskostnaden – de faste kostnadene faller bort når man tar differansen mellom to mengder.</t>
        </is>
      </c>
    </row>
    <row r="14">
      <c r="A14" s="2" t="inlineStr">
        <is>
          <t>Enhetskostnaden faller fra 467,07 til 278,35 kr/kg. Dette er kostnadsdegresjon: de faste kostnadene fordeles på flere kg.</t>
        </is>
      </c>
    </row>
    <row r="15">
      <c r="A15" s="2" t="inlineStr">
        <is>
          <t>Kurven nærmer seg 160,40 kr/kg som asymptote, men når den aldri, fordi den faste andelen aldri blir null.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2026-10-08T11:59:08Z</dcterms:created>
  <dcterms:modified xsi:type="dcterms:W3CDTF">2026-10-08T11:59:08Z</dcterms:modified>
</cp:coreProperties>
</file>